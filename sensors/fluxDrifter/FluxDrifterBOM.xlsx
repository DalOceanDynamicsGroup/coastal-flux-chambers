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281" documentId="11_E60897F41BE170836B02CE998F75CCDC64E183C8" xr6:coauthVersionLast="47" xr6:coauthVersionMax="47" xr10:uidLastSave="{37862FB8-E365-4BE1-BE9D-07D2EF94D3E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13" i="1"/>
  <c r="E12" i="1"/>
  <c r="D33" i="1"/>
  <c r="D25" i="1"/>
  <c r="D12" i="1"/>
  <c r="D11" i="1"/>
  <c r="D42" i="1"/>
  <c r="D41" i="1"/>
  <c r="D40" i="1"/>
  <c r="D36" i="1"/>
  <c r="D35" i="1"/>
  <c r="D34" i="1"/>
  <c r="D32" i="1"/>
  <c r="D31" i="1"/>
  <c r="D29" i="1"/>
  <c r="D28" i="1"/>
  <c r="D27" i="1"/>
  <c r="D26" i="1"/>
  <c r="D23" i="1"/>
  <c r="D22" i="1"/>
  <c r="D21" i="1"/>
  <c r="D20" i="1"/>
  <c r="D19" i="1"/>
  <c r="D18" i="1"/>
  <c r="D17" i="1"/>
  <c r="D16" i="1"/>
  <c r="D15" i="1"/>
  <c r="D14" i="1"/>
  <c r="D13" i="1"/>
  <c r="D9" i="1"/>
  <c r="D7" i="1"/>
  <c r="D6" i="1"/>
  <c r="D5" i="1"/>
  <c r="D4" i="1"/>
  <c r="D3" i="1"/>
  <c r="H50" i="1"/>
</calcChain>
</file>

<file path=xl/sharedStrings.xml><?xml version="1.0" encoding="utf-8"?>
<sst xmlns="http://schemas.openxmlformats.org/spreadsheetml/2006/main" count="95" uniqueCount="74">
  <si>
    <t>Part</t>
  </si>
  <si>
    <t>Number</t>
  </si>
  <si>
    <t>Cost Per</t>
  </si>
  <si>
    <t>Total (est)</t>
  </si>
  <si>
    <t>Total (actual)</t>
  </si>
  <si>
    <t>Status</t>
  </si>
  <si>
    <t>Of Note</t>
  </si>
  <si>
    <t>Notes</t>
  </si>
  <si>
    <t>light?</t>
  </si>
  <si>
    <t>wood</t>
  </si>
  <si>
    <t>purchased</t>
  </si>
  <si>
    <t>foam</t>
  </si>
  <si>
    <t>foam adhesive</t>
  </si>
  <si>
    <t>radar reflector??</t>
  </si>
  <si>
    <t>batteries</t>
  </si>
  <si>
    <t>2 x 18V 6Ah drill batteries</t>
  </si>
  <si>
    <t>pelican case</t>
  </si>
  <si>
    <t>https://www.pelican.com/ca/en/product/cases/vault/v100?sku=VCV100-0000-BLK#specs</t>
  </si>
  <si>
    <t>raspberry pi</t>
  </si>
  <si>
    <t>ordered</t>
  </si>
  <si>
    <t>https://www.digikey.ca/en/products/detail/raspberry-pi/SC0022/6152799</t>
  </si>
  <si>
    <t>uSD. card</t>
  </si>
  <si>
    <t>multiple options</t>
  </si>
  <si>
    <t>usb hub</t>
  </si>
  <si>
    <t>https://www.amazon.ca/Acer-Multiple-Splitter-Extender-Windows/dp/B0CN3F9Y1Z/ref=sr_1_6?sr=8-6</t>
  </si>
  <si>
    <t>arduino nano/uno?</t>
  </si>
  <si>
    <t>https://www.digikey.ca/en/products/detail/arduino/ABX00083/21219775</t>
  </si>
  <si>
    <t>max831865</t>
  </si>
  <si>
    <t>https://www.digikey.ca/en/products/detail/adafruit-industries-llc/3648/7807995</t>
  </si>
  <si>
    <t>PT1000</t>
  </si>
  <si>
    <t>https://www.digikey.ca/en/products/detail/adafruit-industries-llc/3984/9808307?s=N4IgTCBcDaKHAEBmAnADgCxwAQGUCiA5bAeQCVMSAVAEUwAUSiAhXEAXQF8g</t>
  </si>
  <si>
    <t>rs485 to usb converter</t>
  </si>
  <si>
    <t>https://www.amazon.ca/Waveshare-USB-RS485-Applications-Communication/dp/B081NBCJRS/ref=sr_1_6?sr=8-6</t>
  </si>
  <si>
    <t>rs232 to usb converter</t>
  </si>
  <si>
    <t>https://www.amazon.ca/Waveshare-USB-Converter-Transmission-Compatible/dp/B0CTK7YZQK/ref=sw_ttl_d_crh_rh_mrairec_reranked_1?_encoding=UTF8</t>
  </si>
  <si>
    <t>wetlink connectors</t>
  </si>
  <si>
    <t>https://bluerobotics.com/store/cables-connectors/penetrators/wetlink-penetrator-jpt/</t>
  </si>
  <si>
    <t>cables for wetlink connectors</t>
  </si>
  <si>
    <t>per meter</t>
  </si>
  <si>
    <t>https://bluerobotics.com/store/cables-connectors/pur-subsea-cable/</t>
  </si>
  <si>
    <t>gps?</t>
  </si>
  <si>
    <t>hand held or existing gps logger</t>
  </si>
  <si>
    <t>voltage regulators for 18-piVoltage and maybe arduino voltage</t>
  </si>
  <si>
    <t>digikey</t>
  </si>
  <si>
    <t>screws for airball mount</t>
  </si>
  <si>
    <t>1/4-20 bolts</t>
  </si>
  <si>
    <t>MCIL4F</t>
  </si>
  <si>
    <t>found old one</t>
  </si>
  <si>
    <t>solu-blue</t>
  </si>
  <si>
    <t>scrounge</t>
  </si>
  <si>
    <t xml:space="preserve">mounting hardware </t>
  </si>
  <si>
    <t>hose clamps etc.</t>
  </si>
  <si>
    <t>u/w cable (4 conductors)</t>
  </si>
  <si>
    <t>order3ed</t>
  </si>
  <si>
    <t>blue robotics</t>
  </si>
  <si>
    <t>Female locking sleeve</t>
  </si>
  <si>
    <t>scrounge/3d print?</t>
  </si>
  <si>
    <t>2" nominal pipe for water chamber</t>
  </si>
  <si>
    <t>local/scrounge</t>
  </si>
  <si>
    <t>https://www.mcmaster.com/products/pipe/pipe-size~2/pipe-schedule~40/material~plastic-1/standard-wall-plastic-pipe-nipples-and-pipe-for-water~~/</t>
  </si>
  <si>
    <t>t slot framing</t>
  </si>
  <si>
    <t>https://www.mcmaster.com/products/t-slot-framing-components/rail-height~1/t-slotted-framing-rail-profile~single/t-slotted-framing-and-fittings~/t-slotted-framing-rails-4/</t>
  </si>
  <si>
    <t>t slot framing connectors</t>
  </si>
  <si>
    <t>https://www.mcmaster.com/products/t-slot-framing-components/rail-height~1/t-slotted-framing-rail-profile~single/t-slotted-framing-and-fittings~/t-slotted-framing-structural-brackets-4/</t>
  </si>
  <si>
    <t>misc hardware, hose clamps etc.</t>
  </si>
  <si>
    <t>connector for T</t>
  </si>
  <si>
    <t>use bare connector</t>
  </si>
  <si>
    <t>1754-M12A-08BFFM-SL8B02-ND, alt 1754-M12A-08BFFM-SL8B02-ND</t>
  </si>
  <si>
    <t>cable from T to pelican case</t>
  </si>
  <si>
    <t>misc aluminum</t>
  </si>
  <si>
    <t>https://www.mcmaster.com/8982K14-8982K144/</t>
  </si>
  <si>
    <t>misc hardware</t>
  </si>
  <si>
    <t>misc electronics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</si>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</sst>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0" xfId="1" applyFill="1"/>
    <xf numFmtId="0" fontId="1" fillId="5" borderId="0" xfId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robotics.com/store/cables-connectors/penetrators/wetlink-penetrator-jpt/" TargetMode="External"/><Relationship Id="rId13" Type="http://schemas.openxmlformats.org/officeDocument/2006/relationships/hyperlink" Target="https://www.mcmaster.com/8982K14-8982K144/" TargetMode="External"/><Relationship Id="rId3" Type="http://schemas.openxmlformats.org/officeDocument/2006/relationships/hyperlink" Target="https://www.digikey.ca/en/products/detail/raspberry-pi/SC0022/6152799" TargetMode="External"/><Relationship Id="rId7" Type="http://schemas.openxmlformats.org/officeDocument/2006/relationships/hyperlink" Target="https://www.amazon.ca/Waveshare-USB-Converter-Transmission-Compatible/dp/B0CTK7YZQK/ref=sw_ttl_d_crh_rh_mrairec_reranked_1?_encoding=UTF8" TargetMode="External"/><Relationship Id="rId12" Type="http://schemas.openxmlformats.org/officeDocument/2006/relationships/hyperlink" Target="https://www.mcmaster.com/products/t-slot-framing-components/rail-height~1/t-slotted-framing-rail-profile~single/t-slotted-framing-and-fittings~/t-slotted-framing-structural-brackets-4/" TargetMode="External"/><Relationship Id="rId2" Type="http://schemas.openxmlformats.org/officeDocument/2006/relationships/hyperlink" Target="https://www.digikey.ca/en/products/detail/adafruit-industries-llc/3648/7807995" TargetMode="External"/><Relationship Id="rId1" Type="http://schemas.openxmlformats.org/officeDocument/2006/relationships/hyperlink" Target="https://www.digikey.ca/en/products/detail/adafruit-industries-llc/3984/9808307?s=N4IgTCBcDaKHAEBmAnADgCxwAQGUCiA5bAeQCVMSAVAEUwAUSiAhXEAXQF8g" TargetMode="External"/><Relationship Id="rId6" Type="http://schemas.openxmlformats.org/officeDocument/2006/relationships/hyperlink" Target="https://www.amazon.ca/Waveshare-USB-RS485-Applications-Communication/dp/B081NBCJRS/ref=sr_1_6?sr=8-6" TargetMode="External"/><Relationship Id="rId11" Type="http://schemas.openxmlformats.org/officeDocument/2006/relationships/hyperlink" Target="https://www.mcmaster.com/products/t-slot-framing-components/rail-height~1/t-slotted-framing-rail-profile~single/t-slotted-framing-and-fittings~/t-slotted-framing-rails-4/" TargetMode="External"/><Relationship Id="rId5" Type="http://schemas.openxmlformats.org/officeDocument/2006/relationships/hyperlink" Target="https://www.digikey.ca/en/products/detail/arduino/ABX00083/21219775" TargetMode="External"/><Relationship Id="rId10" Type="http://schemas.openxmlformats.org/officeDocument/2006/relationships/hyperlink" Target="https://www.mcmaster.com/products/pipe/pipe-size~2/pipe-schedule~40/material~plastic-1/standard-wall-plastic-pipe-nipples-and-pipe-for-water~~/" TargetMode="External"/><Relationship Id="rId4" Type="http://schemas.openxmlformats.org/officeDocument/2006/relationships/hyperlink" Target="https://www.amazon.ca/Acer-Multiple-Splitter-Extender-Windows/dp/B0CN3F9Y1Z/ref=sr_1_6?sr=8-6" TargetMode="External"/><Relationship Id="rId9" Type="http://schemas.openxmlformats.org/officeDocument/2006/relationships/hyperlink" Target="https://bluerobotics.com/store/cables-connectors/pur-subsea-cable/" TargetMode="External"/><Relationship Id="rId14" Type="http://schemas.openxmlformats.org/officeDocument/2006/relationships/hyperlink" Target="https://www.pelican.com/ca/en/product/cases/vault/v100?sku=VCV100-0000-B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pane ySplit="1" topLeftCell="A2" activePane="bottomLeft" state="frozen"/>
      <selection pane="bottomLeft" activeCell="F35" sqref="F35"/>
    </sheetView>
  </sheetViews>
  <sheetFormatPr defaultRowHeight="15"/>
  <cols>
    <col min="1" max="1" width="52.42578125" customWidth="1"/>
    <col min="5" max="5" width="12.5703125" bestFit="1" customWidth="1"/>
    <col min="6" max="6" width="16" customWidth="1"/>
    <col min="7" max="7" width="18.28515625" bestFit="1" customWidth="1"/>
    <col min="8" max="8" width="47.710937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>
      <c r="A3" t="s">
        <v>8</v>
      </c>
      <c r="D3">
        <f t="shared" ref="D3:D42" si="0">B3*C3</f>
        <v>0</v>
      </c>
    </row>
    <row r="4" spans="1:8">
      <c r="A4" t="s">
        <v>9</v>
      </c>
      <c r="B4">
        <v>1</v>
      </c>
      <c r="D4">
        <f t="shared" si="0"/>
        <v>0</v>
      </c>
      <c r="F4" t="s">
        <v>10</v>
      </c>
    </row>
    <row r="5" spans="1:8">
      <c r="A5" t="s">
        <v>11</v>
      </c>
      <c r="B5">
        <v>1</v>
      </c>
      <c r="D5">
        <f t="shared" si="0"/>
        <v>0</v>
      </c>
      <c r="F5" t="s">
        <v>10</v>
      </c>
    </row>
    <row r="6" spans="1:8">
      <c r="A6" t="s">
        <v>12</v>
      </c>
      <c r="B6">
        <v>2</v>
      </c>
      <c r="D6">
        <f t="shared" si="0"/>
        <v>0</v>
      </c>
      <c r="F6" t="s">
        <v>10</v>
      </c>
    </row>
    <row r="7" spans="1:8">
      <c r="A7" t="s">
        <v>13</v>
      </c>
      <c r="D7">
        <f t="shared" si="0"/>
        <v>0</v>
      </c>
    </row>
    <row r="9" spans="1:8" s="2" customFormat="1">
      <c r="A9" s="2" t="s">
        <v>14</v>
      </c>
      <c r="B9" s="2">
        <v>2</v>
      </c>
      <c r="D9" s="2">
        <f t="shared" si="0"/>
        <v>0</v>
      </c>
      <c r="F9" s="2" t="s">
        <v>10</v>
      </c>
      <c r="H9" s="2" t="s">
        <v>15</v>
      </c>
    </row>
    <row r="10" spans="1:8" s="2" customFormat="1">
      <c r="A10" s="2" t="s">
        <v>16</v>
      </c>
      <c r="B10" s="2">
        <v>1</v>
      </c>
      <c r="C10" s="2">
        <v>1</v>
      </c>
      <c r="D10" s="2">
        <v>100</v>
      </c>
      <c r="H10" s="5" t="s">
        <v>17</v>
      </c>
    </row>
    <row r="11" spans="1:8" s="2" customFormat="1">
      <c r="A11" s="2" t="s">
        <v>18</v>
      </c>
      <c r="B11" s="2">
        <v>1</v>
      </c>
      <c r="C11" s="2">
        <v>51.81</v>
      </c>
      <c r="D11" s="2">
        <f>B11*C11</f>
        <v>51.81</v>
      </c>
      <c r="F11" s="2" t="s">
        <v>19</v>
      </c>
      <c r="H11" s="5" t="s">
        <v>20</v>
      </c>
    </row>
    <row r="12" spans="1:8" s="2" customFormat="1">
      <c r="A12" s="2" t="s">
        <v>21</v>
      </c>
      <c r="B12" s="2">
        <v>1</v>
      </c>
      <c r="C12" s="2">
        <v>45</v>
      </c>
      <c r="D12" s="2">
        <f>B12*C12</f>
        <v>45</v>
      </c>
      <c r="E12" s="2">
        <f>26.15*1.15</f>
        <v>30.072499999999994</v>
      </c>
      <c r="F12" s="2" t="s">
        <v>19</v>
      </c>
      <c r="H12" s="2" t="s">
        <v>22</v>
      </c>
    </row>
    <row r="13" spans="1:8" s="2" customFormat="1">
      <c r="A13" s="2" t="s">
        <v>23</v>
      </c>
      <c r="B13" s="2">
        <v>1</v>
      </c>
      <c r="C13" s="2">
        <v>20</v>
      </c>
      <c r="D13" s="2">
        <f t="shared" si="0"/>
        <v>20</v>
      </c>
      <c r="E13" s="2">
        <f>13*1.15</f>
        <v>14.95</v>
      </c>
      <c r="F13" s="2" t="s">
        <v>19</v>
      </c>
      <c r="H13" s="5" t="s">
        <v>24</v>
      </c>
    </row>
    <row r="14" spans="1:8" s="2" customFormat="1">
      <c r="A14" s="2" t="s">
        <v>25</v>
      </c>
      <c r="B14" s="2">
        <v>1</v>
      </c>
      <c r="C14" s="2">
        <v>30</v>
      </c>
      <c r="D14" s="2">
        <f t="shared" si="0"/>
        <v>30</v>
      </c>
      <c r="F14" s="2" t="s">
        <v>19</v>
      </c>
      <c r="H14" s="5" t="s">
        <v>26</v>
      </c>
    </row>
    <row r="15" spans="1:8" s="2" customFormat="1">
      <c r="A15" s="2" t="s">
        <v>27</v>
      </c>
      <c r="B15" s="2">
        <v>2</v>
      </c>
      <c r="C15" s="2">
        <v>21.87</v>
      </c>
      <c r="D15" s="2">
        <f t="shared" si="0"/>
        <v>43.74</v>
      </c>
      <c r="F15" s="2" t="s">
        <v>19</v>
      </c>
      <c r="H15" s="5" t="s">
        <v>28</v>
      </c>
    </row>
    <row r="16" spans="1:8" s="2" customFormat="1">
      <c r="A16" s="2" t="s">
        <v>29</v>
      </c>
      <c r="B16" s="2">
        <v>2</v>
      </c>
      <c r="C16" s="2">
        <v>21.87</v>
      </c>
      <c r="D16" s="2">
        <f t="shared" si="0"/>
        <v>43.74</v>
      </c>
      <c r="F16" s="2" t="s">
        <v>19</v>
      </c>
      <c r="H16" s="5" t="s">
        <v>30</v>
      </c>
    </row>
    <row r="17" spans="1:8" s="2" customFormat="1">
      <c r="A17" s="2" t="s">
        <v>31</v>
      </c>
      <c r="B17" s="2">
        <v>1</v>
      </c>
      <c r="C17" s="2">
        <v>25</v>
      </c>
      <c r="D17" s="2">
        <f t="shared" si="0"/>
        <v>25</v>
      </c>
      <c r="E17" s="2">
        <f>28*1.15</f>
        <v>32.199999999999996</v>
      </c>
      <c r="F17" s="2" t="s">
        <v>19</v>
      </c>
      <c r="H17" s="5" t="s">
        <v>32</v>
      </c>
    </row>
    <row r="18" spans="1:8" s="2" customFormat="1">
      <c r="A18" s="2" t="s">
        <v>33</v>
      </c>
      <c r="B18" s="2">
        <v>1</v>
      </c>
      <c r="C18" s="2">
        <v>30</v>
      </c>
      <c r="D18" s="2">
        <f t="shared" si="0"/>
        <v>30</v>
      </c>
      <c r="E18" s="2">
        <f>25*1.15</f>
        <v>28.749999999999996</v>
      </c>
      <c r="F18" s="2" t="s">
        <v>19</v>
      </c>
      <c r="H18" s="5" t="s">
        <v>34</v>
      </c>
    </row>
    <row r="19" spans="1:8" s="2" customFormat="1">
      <c r="A19" s="2" t="s">
        <v>35</v>
      </c>
      <c r="B19" s="2">
        <v>5</v>
      </c>
      <c r="C19" s="2">
        <v>19</v>
      </c>
      <c r="D19" s="2">
        <f t="shared" si="0"/>
        <v>95</v>
      </c>
      <c r="F19" s="2" t="s">
        <v>19</v>
      </c>
      <c r="H19" s="5" t="s">
        <v>36</v>
      </c>
    </row>
    <row r="20" spans="1:8" s="2" customFormat="1">
      <c r="A20" s="2" t="s">
        <v>37</v>
      </c>
      <c r="B20" s="2">
        <v>5</v>
      </c>
      <c r="C20" s="2">
        <v>9</v>
      </c>
      <c r="D20" s="2">
        <f t="shared" si="0"/>
        <v>45</v>
      </c>
      <c r="F20" s="2" t="s">
        <v>19</v>
      </c>
      <c r="G20" s="2" t="s">
        <v>38</v>
      </c>
      <c r="H20" s="5" t="s">
        <v>39</v>
      </c>
    </row>
    <row r="21" spans="1:8" s="2" customFormat="1">
      <c r="A21" s="2" t="s">
        <v>40</v>
      </c>
      <c r="B21" s="2">
        <v>1</v>
      </c>
      <c r="C21" s="2">
        <v>0</v>
      </c>
      <c r="D21" s="2">
        <f t="shared" si="0"/>
        <v>0</v>
      </c>
      <c r="H21" s="2" t="s">
        <v>41</v>
      </c>
    </row>
    <row r="22" spans="1:8" s="2" customFormat="1">
      <c r="A22" s="2" t="s">
        <v>42</v>
      </c>
      <c r="B22" s="2">
        <v>1</v>
      </c>
      <c r="C22" s="2">
        <v>15</v>
      </c>
      <c r="D22" s="2">
        <f t="shared" si="0"/>
        <v>15</v>
      </c>
      <c r="H22" s="2" t="s">
        <v>43</v>
      </c>
    </row>
    <row r="23" spans="1:8" s="2" customFormat="1">
      <c r="D23" s="2">
        <f t="shared" si="0"/>
        <v>0</v>
      </c>
    </row>
    <row r="25" spans="1:8" s="3" customFormat="1">
      <c r="A25" s="3" t="s">
        <v>44</v>
      </c>
      <c r="B25" s="3">
        <v>3</v>
      </c>
      <c r="C25" s="3">
        <v>2</v>
      </c>
      <c r="D25" s="3">
        <f t="shared" si="0"/>
        <v>6</v>
      </c>
      <c r="F25" s="3" t="s">
        <v>19</v>
      </c>
      <c r="H25" s="3" t="s">
        <v>45</v>
      </c>
    </row>
    <row r="26" spans="1:8" s="3" customFormat="1">
      <c r="A26" s="3" t="s">
        <v>46</v>
      </c>
      <c r="B26" s="3">
        <v>1</v>
      </c>
      <c r="C26" s="3">
        <v>0</v>
      </c>
      <c r="D26" s="3">
        <f t="shared" si="0"/>
        <v>0</v>
      </c>
      <c r="F26" s="3" t="s">
        <v>47</v>
      </c>
      <c r="G26" s="3" t="s">
        <v>48</v>
      </c>
      <c r="H26" s="3" t="s">
        <v>49</v>
      </c>
    </row>
    <row r="27" spans="1:8" s="3" customFormat="1">
      <c r="A27" s="3" t="s">
        <v>50</v>
      </c>
      <c r="B27" s="3">
        <v>1</v>
      </c>
      <c r="C27" s="3">
        <v>20</v>
      </c>
      <c r="D27" s="3">
        <f t="shared" si="0"/>
        <v>20</v>
      </c>
      <c r="H27" s="3" t="s">
        <v>51</v>
      </c>
    </row>
    <row r="28" spans="1:8" s="3" customFormat="1">
      <c r="A28" s="3" t="s">
        <v>52</v>
      </c>
      <c r="B28" s="3">
        <v>3</v>
      </c>
      <c r="C28" s="3">
        <v>9</v>
      </c>
      <c r="D28" s="3">
        <f t="shared" si="0"/>
        <v>27</v>
      </c>
      <c r="F28" s="3" t="s">
        <v>53</v>
      </c>
      <c r="H28" s="3" t="s">
        <v>54</v>
      </c>
    </row>
    <row r="29" spans="1:8" s="3" customFormat="1">
      <c r="A29" s="3" t="s">
        <v>55</v>
      </c>
      <c r="B29" s="3">
        <v>1</v>
      </c>
      <c r="D29" s="3">
        <f t="shared" si="0"/>
        <v>0</v>
      </c>
      <c r="F29" s="3" t="s">
        <v>49</v>
      </c>
      <c r="H29" s="3" t="s">
        <v>56</v>
      </c>
    </row>
    <row r="31" spans="1:8" s="4" customFormat="1">
      <c r="A31" s="4" t="s">
        <v>57</v>
      </c>
      <c r="B31" s="4">
        <v>1</v>
      </c>
      <c r="C31" s="4">
        <v>20</v>
      </c>
      <c r="D31" s="4">
        <f t="shared" si="0"/>
        <v>20</v>
      </c>
      <c r="F31" s="4" t="s">
        <v>58</v>
      </c>
      <c r="H31" s="6" t="s">
        <v>59</v>
      </c>
    </row>
    <row r="32" spans="1:8" s="4" customFormat="1">
      <c r="A32" s="4" t="s">
        <v>60</v>
      </c>
      <c r="B32" s="4">
        <v>3</v>
      </c>
      <c r="C32" s="4">
        <v>38</v>
      </c>
      <c r="D32" s="4">
        <f t="shared" si="0"/>
        <v>114</v>
      </c>
      <c r="F32" s="4" t="s">
        <v>19</v>
      </c>
      <c r="H32" s="6" t="s">
        <v>61</v>
      </c>
    </row>
    <row r="33" spans="1:8" s="4" customFormat="1">
      <c r="A33" s="4" t="s">
        <v>62</v>
      </c>
      <c r="B33" s="4">
        <v>10</v>
      </c>
      <c r="C33" s="4">
        <v>13</v>
      </c>
      <c r="D33" s="4">
        <f t="shared" si="0"/>
        <v>130</v>
      </c>
      <c r="F33" s="4" t="s">
        <v>19</v>
      </c>
      <c r="H33" s="6" t="s">
        <v>63</v>
      </c>
    </row>
    <row r="34" spans="1:8" s="4" customFormat="1">
      <c r="A34" s="4" t="s">
        <v>50</v>
      </c>
      <c r="B34" s="4">
        <v>1</v>
      </c>
      <c r="C34" s="4">
        <v>40</v>
      </c>
      <c r="D34" s="4">
        <f t="shared" si="0"/>
        <v>40</v>
      </c>
      <c r="F34" s="4" t="s">
        <v>49</v>
      </c>
      <c r="H34" s="4" t="s">
        <v>64</v>
      </c>
    </row>
    <row r="35" spans="1:8" s="4" customFormat="1">
      <c r="A35" s="4" t="s">
        <v>65</v>
      </c>
      <c r="B35" s="4">
        <v>1</v>
      </c>
      <c r="C35" s="4">
        <v>30</v>
      </c>
      <c r="D35" s="4">
        <f t="shared" si="0"/>
        <v>30</v>
      </c>
      <c r="F35" s="4" t="s">
        <v>19</v>
      </c>
      <c r="G35" s="4" t="s">
        <v>66</v>
      </c>
      <c r="H35" s="6" t="s">
        <v>67</v>
      </c>
    </row>
    <row r="36" spans="1:8" s="4" customFormat="1">
      <c r="A36" s="4" t="s">
        <v>68</v>
      </c>
      <c r="B36" s="4">
        <v>2</v>
      </c>
      <c r="C36" s="4">
        <v>9</v>
      </c>
      <c r="D36" s="4">
        <f t="shared" si="0"/>
        <v>18</v>
      </c>
      <c r="F36" s="4" t="s">
        <v>19</v>
      </c>
      <c r="H36" s="3" t="s">
        <v>54</v>
      </c>
    </row>
    <row r="37" spans="1:8" s="4" customFormat="1"/>
    <row r="38" spans="1:8" s="4" customFormat="1"/>
    <row r="40" spans="1:8">
      <c r="A40" t="s">
        <v>69</v>
      </c>
      <c r="B40">
        <v>1</v>
      </c>
      <c r="C40">
        <v>60</v>
      </c>
      <c r="D40">
        <f t="shared" si="0"/>
        <v>60</v>
      </c>
      <c r="H40" s="7" t="s">
        <v>70</v>
      </c>
    </row>
    <row r="41" spans="1:8">
      <c r="A41" t="s">
        <v>71</v>
      </c>
      <c r="B41">
        <v>1</v>
      </c>
      <c r="C41">
        <v>50</v>
      </c>
      <c r="D41">
        <f t="shared" si="0"/>
        <v>50</v>
      </c>
    </row>
    <row r="42" spans="1:8">
      <c r="A42" t="s">
        <v>72</v>
      </c>
      <c r="B42">
        <v>1</v>
      </c>
      <c r="C42">
        <v>50</v>
      </c>
      <c r="D42">
        <f t="shared" si="0"/>
        <v>50</v>
      </c>
    </row>
    <row r="49" spans="8:8">
      <c r="H49" t="s">
        <v>73</v>
      </c>
    </row>
    <row r="50" spans="8:8">
      <c r="H50">
        <f>SUM(D2:D47)</f>
        <v>1109.29</v>
      </c>
    </row>
  </sheetData>
  <hyperlinks>
    <hyperlink ref="H16" r:id="rId1" xr:uid="{D62C1607-2857-44C5-884A-FCE306735465}"/>
    <hyperlink ref="H15" r:id="rId2" xr:uid="{B5F9153E-7A77-4C52-A700-3DE6818C0489}"/>
    <hyperlink ref="H11" r:id="rId3" xr:uid="{1C2C281A-6C94-488D-AABE-B60E260A9A34}"/>
    <hyperlink ref="H13" r:id="rId4" xr:uid="{74A4013C-B50A-4AF6-81AD-9917BBEB8D90}"/>
    <hyperlink ref="H14" r:id="rId5" xr:uid="{5F0EA47C-71C4-46D0-915F-1EF9F02560E3}"/>
    <hyperlink ref="H17" r:id="rId6" xr:uid="{A891D5F7-ACD5-4FE8-B13A-1B7C569BBEDE}"/>
    <hyperlink ref="H18" r:id="rId7" xr:uid="{376030B6-734B-470D-AD27-D0CC26C5268C}"/>
    <hyperlink ref="H19" r:id="rId8" xr:uid="{FBF5A59D-8FDB-4A87-BCBA-95432BEEB1DE}"/>
    <hyperlink ref="H20" r:id="rId9" xr:uid="{3C12509F-7F55-4AE8-9626-27221BB3AEB5}"/>
    <hyperlink ref="H31" r:id="rId10" xr:uid="{50354254-119D-4982-8276-8D5181E5A56B}"/>
    <hyperlink ref="H32" r:id="rId11" xr:uid="{5D56F4BF-AB8E-4F88-8703-52F3B2A022CA}"/>
    <hyperlink ref="H33" r:id="rId12" xr:uid="{C01A74DB-659E-4F22-8CE1-E51D75A89913}"/>
    <hyperlink ref="H40" r:id="rId13" xr:uid="{49AFADCF-3E35-4F16-8D14-734123D173E1}"/>
    <hyperlink ref="H10" r:id="rId14" location="specs" xr:uid="{B621BF9A-3DD9-4E58-9360-D92C1FB7EB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Richard Cheel</cp:lastModifiedBy>
  <cp:revision/>
  <dcterms:created xsi:type="dcterms:W3CDTF">2026-06-24T17:45:26Z</dcterms:created>
  <dcterms:modified xsi:type="dcterms:W3CDTF">2026-06-25T15:02:26Z</dcterms:modified>
  <cp:category/>
  <cp:contentStatus/>
</cp:coreProperties>
</file>